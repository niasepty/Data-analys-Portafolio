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01B0CD9-8AEB-4E63-9CF7-601DC23BC9C8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pivot table" sheetId="5" r:id="rId1"/>
    <sheet name="Data_Transaksi" sheetId="2" r:id="rId2"/>
    <sheet name="Referensi_Produk" sheetId="3" r:id="rId3"/>
    <sheet name="Latihan_VLOOKUP" sheetId="4" r:id="rId4"/>
  </sheets>
  <calcPr calcId="191029"/>
  <pivotCaches>
    <pivotCache cacheId="5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B3" i="4"/>
  <c r="B4" i="4"/>
  <c r="B5" i="4"/>
  <c r="B6" i="4"/>
  <c r="B7" i="4"/>
  <c r="B8" i="4"/>
  <c r="B9" i="4"/>
  <c r="C2" i="4"/>
  <c r="B2" i="4"/>
</calcChain>
</file>

<file path=xl/sharedStrings.xml><?xml version="1.0" encoding="utf-8"?>
<sst xmlns="http://schemas.openxmlformats.org/spreadsheetml/2006/main" count="144" uniqueCount="74">
  <si>
    <t>ID Transaksi</t>
  </si>
  <si>
    <t>Tanggal</t>
  </si>
  <si>
    <t>Nama Pelanggan</t>
  </si>
  <si>
    <t>Kode Produk</t>
  </si>
  <si>
    <t>Jumlah</t>
  </si>
  <si>
    <t>Kota</t>
  </si>
  <si>
    <t>TRX1013</t>
  </si>
  <si>
    <t>Rina Kartika</t>
  </si>
  <si>
    <t>P008</t>
  </si>
  <si>
    <t>Yogyakarta</t>
  </si>
  <si>
    <t>TRX1012</t>
  </si>
  <si>
    <t>Agus Salim</t>
  </si>
  <si>
    <t>P005</t>
  </si>
  <si>
    <t>Bandung</t>
  </si>
  <si>
    <t>TRX1002</t>
  </si>
  <si>
    <t>Budi Santoso</t>
  </si>
  <si>
    <t>P004</t>
  </si>
  <si>
    <t>Cirebon</t>
  </si>
  <si>
    <t>TRX1005</t>
  </si>
  <si>
    <t>Maya Putri</t>
  </si>
  <si>
    <t>P006</t>
  </si>
  <si>
    <t>Surabaya</t>
  </si>
  <si>
    <t>TRX1008</t>
  </si>
  <si>
    <t>Siti Aminah</t>
  </si>
  <si>
    <t>TRX1004</t>
  </si>
  <si>
    <t>Andi Wijaya</t>
  </si>
  <si>
    <t>Jakarta</t>
  </si>
  <si>
    <t>TRX1006</t>
  </si>
  <si>
    <t>P007</t>
  </si>
  <si>
    <t>Semarang</t>
  </si>
  <si>
    <t>TRX1098</t>
  </si>
  <si>
    <t>P002</t>
  </si>
  <si>
    <t>TRX1020</t>
  </si>
  <si>
    <t>TRX1001</t>
  </si>
  <si>
    <t>TRX1021</t>
  </si>
  <si>
    <t>TRX1014</t>
  </si>
  <si>
    <t>TRX1018</t>
  </si>
  <si>
    <t>TRX1017</t>
  </si>
  <si>
    <t>TRX1009</t>
  </si>
  <si>
    <t>TRX1011</t>
  </si>
  <si>
    <t>TRX1003</t>
  </si>
  <si>
    <t>Dedi Saputra</t>
  </si>
  <si>
    <t>P001</t>
  </si>
  <si>
    <t>TRX1015</t>
  </si>
  <si>
    <t>TRX1010</t>
  </si>
  <si>
    <t>TRX1019</t>
  </si>
  <si>
    <t>TRX1000</t>
  </si>
  <si>
    <t>TRX1016</t>
  </si>
  <si>
    <t>Nama Produk</t>
  </si>
  <si>
    <t>Harga Satuan</t>
  </si>
  <si>
    <t>Pulpen Gel</t>
  </si>
  <si>
    <t>Buku Tulis</t>
  </si>
  <si>
    <t>P003</t>
  </si>
  <si>
    <t>Penggaris 30cm</t>
  </si>
  <si>
    <t>Spidol Papan</t>
  </si>
  <si>
    <t>Stapler</t>
  </si>
  <si>
    <t>Kertas HVS (rim)</t>
  </si>
  <si>
    <t>Map Plastik</t>
  </si>
  <si>
    <t>Tinta Printer</t>
  </si>
  <si>
    <t>Nama Produk (VLOOKUP)</t>
  </si>
  <si>
    <t>Harga Satuan (VLOOKUP)</t>
  </si>
  <si>
    <t>Baris pertama sudah diisi contoh rumusnya (lihat isi sel B2 dan C2).</t>
  </si>
  <si>
    <t>Sel kuning: isi sendiri dengan rumus VLOOKUP yang sama (tinggal drag dari B2:C2 ke bawah juga bisa).</t>
  </si>
  <si>
    <t>Row Labels</t>
  </si>
  <si>
    <t>Grand Total</t>
  </si>
  <si>
    <t>Sum of Jumlah</t>
  </si>
  <si>
    <t>Column Labels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</si>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</sst>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0"/>
      <color rgb="FF808080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164" fontId="2" fillId="0" borderId="1" xfId="0" applyNumberFormat="1" applyFont="1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2" fillId="0" borderId="1" xfId="0" applyNumberFormat="1" applyFont="1" applyBorder="1"/>
    <xf numFmtId="1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6.514044675925" createdVersion="8" refreshedVersion="8" minRefreshableVersion="3" recordCount="22" xr:uid="{0369DBE3-F6AD-45EE-8071-9CDB9A2D8662}">
  <cacheSource type="worksheet">
    <worksheetSource ref="A1:F23" sheet="Data_Transaksi"/>
  </cacheSource>
  <cacheFields count="7">
    <cacheField name="ID Transaksi" numFmtId="0">
      <sharedItems/>
    </cacheField>
    <cacheField name="Tanggal" numFmtId="14">
      <sharedItems containsSemiMixedTypes="0" containsNonDate="0" containsDate="1" containsString="0" minDate="2026-01-10T00:00:00" maxDate="2026-07-22T00:00:00" count="21">
        <d v="2026-06-20T00:00:00"/>
        <d v="2026-01-20T00:00:00"/>
        <d v="2026-02-17T00:00:00"/>
        <d v="2026-04-13T00:00:00"/>
        <d v="2026-07-19T00:00:00"/>
        <d v="2026-03-18T00:00:00"/>
        <d v="2026-01-24T00:00:00"/>
        <d v="2026-07-21T00:00:00"/>
        <d v="2026-01-18T00:00:00"/>
        <d v="2026-01-27T00:00:00"/>
        <d v="2026-05-16T00:00:00"/>
        <d v="2026-02-18T00:00:00"/>
        <d v="2026-05-18T00:00:00"/>
        <d v="2026-02-23T00:00:00"/>
        <d v="2026-04-21T00:00:00"/>
        <d v="2026-03-27T00:00:00"/>
        <d v="2026-04-28T00:00:00"/>
        <d v="2026-06-28T00:00:00"/>
        <d v="2026-03-12T00:00:00"/>
        <d v="2026-01-10T00:00:00"/>
        <d v="2026-05-25T00:00:00"/>
      </sharedItems>
      <fieldGroup par="6"/>
    </cacheField>
    <cacheField name="Nama Pelanggan" numFmtId="0">
      <sharedItems/>
    </cacheField>
    <cacheField name="Kode Produk" numFmtId="0">
      <sharedItems/>
    </cacheField>
    <cacheField name="Jumlah" numFmtId="0">
      <sharedItems containsSemiMixedTypes="0" containsString="0" containsNumber="1" containsInteger="1" minValue="1" maxValue="10"/>
    </cacheField>
    <cacheField name="Kota" numFmtId="0">
      <sharedItems count="6">
        <s v="Yogyakarta"/>
        <s v="Bandung"/>
        <s v="Cirebon"/>
        <s v="Surabaya"/>
        <s v="Jakarta"/>
        <s v="Semarang"/>
      </sharedItems>
    </cacheField>
    <cacheField name="Months (Tanggal)" numFmtId="0" databaseField="0">
      <fieldGroup base="1">
        <rangePr groupBy="months" startDate="2026-01-10T00:00:00" endDate="2026-07-22T00:00:00"/>
        <groupItems count="14">
          <s v="&lt;10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TRX1013"/>
    <x v="0"/>
    <s v="Rina Kartika"/>
    <s v="P008"/>
    <n v="7"/>
    <x v="0"/>
  </r>
  <r>
    <s v="TRX1012"/>
    <x v="1"/>
    <s v="Agus Salim"/>
    <s v="P005"/>
    <n v="2"/>
    <x v="1"/>
  </r>
  <r>
    <s v="TRX1002"/>
    <x v="2"/>
    <s v="Budi Santoso"/>
    <s v="P004"/>
    <n v="9"/>
    <x v="2"/>
  </r>
  <r>
    <s v="TRX1005"/>
    <x v="3"/>
    <s v="Maya Putri"/>
    <s v="P006"/>
    <n v="10"/>
    <x v="3"/>
  </r>
  <r>
    <s v="TRX1008"/>
    <x v="4"/>
    <s v="Siti Aminah"/>
    <s v="P004"/>
    <n v="2"/>
    <x v="2"/>
  </r>
  <r>
    <s v="TRX1004"/>
    <x v="5"/>
    <s v="Andi Wijaya"/>
    <s v="P004"/>
    <n v="6"/>
    <x v="4"/>
  </r>
  <r>
    <s v="TRX1006"/>
    <x v="6"/>
    <s v="Siti Aminah"/>
    <s v="P007"/>
    <n v="2"/>
    <x v="5"/>
  </r>
  <r>
    <s v="TRX1098"/>
    <x v="7"/>
    <s v="Rina Kartika"/>
    <s v="P002"/>
    <n v="1"/>
    <x v="0"/>
  </r>
  <r>
    <s v="TRX1020"/>
    <x v="8"/>
    <s v="Andi Wijaya"/>
    <s v="P002"/>
    <n v="5"/>
    <x v="0"/>
  </r>
  <r>
    <s v="TRX1001"/>
    <x v="9"/>
    <s v="Siti Aminah"/>
    <s v="P007"/>
    <n v="1"/>
    <x v="4"/>
  </r>
  <r>
    <s v="TRX1021"/>
    <x v="10"/>
    <s v="Andi Wijaya"/>
    <s v="P006"/>
    <n v="3"/>
    <x v="5"/>
  </r>
  <r>
    <s v="TRX1014"/>
    <x v="11"/>
    <s v="Andi Wijaya"/>
    <s v="P004"/>
    <n v="9"/>
    <x v="5"/>
  </r>
  <r>
    <s v="TRX1018"/>
    <x v="12"/>
    <s v="Budi Santoso"/>
    <s v="P002"/>
    <n v="9"/>
    <x v="3"/>
  </r>
  <r>
    <s v="TRX1017"/>
    <x v="13"/>
    <s v="Siti Aminah"/>
    <s v="P007"/>
    <n v="7"/>
    <x v="5"/>
  </r>
  <r>
    <s v="TRX1009"/>
    <x v="14"/>
    <s v="Andi Wijaya"/>
    <s v="P006"/>
    <n v="6"/>
    <x v="1"/>
  </r>
  <r>
    <s v="TRX1011"/>
    <x v="15"/>
    <s v="Rina Kartika"/>
    <s v="P006"/>
    <n v="1"/>
    <x v="1"/>
  </r>
  <r>
    <s v="TRX1003"/>
    <x v="16"/>
    <s v="Dedi Saputra"/>
    <s v="P001"/>
    <n v="3"/>
    <x v="0"/>
  </r>
  <r>
    <s v="TRX1015"/>
    <x v="17"/>
    <s v="Agus Salim"/>
    <s v="P007"/>
    <n v="6"/>
    <x v="1"/>
  </r>
  <r>
    <s v="TRX1010"/>
    <x v="18"/>
    <s v="Andi Wijaya"/>
    <s v="P004"/>
    <n v="3"/>
    <x v="2"/>
  </r>
  <r>
    <s v="TRX1019"/>
    <x v="0"/>
    <s v="Siti Aminah"/>
    <s v="P005"/>
    <n v="7"/>
    <x v="1"/>
  </r>
  <r>
    <s v="TRX1000"/>
    <x v="19"/>
    <s v="Dedi Saputra"/>
    <s v="P004"/>
    <n v="4"/>
    <x v="1"/>
  </r>
  <r>
    <s v="TRX1016"/>
    <x v="20"/>
    <s v="Siti Aminah"/>
    <s v="P00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C3DFE-9F52-4B26-A8EA-B78F3F2F80C6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1" firstHeaderRow="1" firstDataRow="2" firstDataCol="1"/>
  <pivotFields count="7">
    <pivotField showAll="0"/>
    <pivotField showAll="0">
      <items count="22">
        <item x="19"/>
        <item x="8"/>
        <item x="1"/>
        <item x="6"/>
        <item x="9"/>
        <item x="2"/>
        <item x="11"/>
        <item x="13"/>
        <item x="18"/>
        <item x="5"/>
        <item x="15"/>
        <item x="3"/>
        <item x="14"/>
        <item x="16"/>
        <item x="10"/>
        <item x="12"/>
        <item x="20"/>
        <item x="0"/>
        <item x="17"/>
        <item x="4"/>
        <item x="7"/>
        <item t="default"/>
      </items>
    </pivotField>
    <pivotField showAll="0"/>
    <pivotField showAll="0"/>
    <pivotField dataField="1" showAll="0"/>
    <pivotField axis="axisRow" showAll="0">
      <items count="7">
        <item x="1"/>
        <item x="2"/>
        <item x="4"/>
        <item x="5"/>
        <item x="3"/>
        <item x="0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Jumlah" fld="4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7F89-DEF6-4C1C-BCAD-22D93658B299}">
  <dimension ref="A3:I15"/>
  <sheetViews>
    <sheetView topLeftCell="A3" zoomScale="143" workbookViewId="0">
      <selection activeCell="E5" sqref="E5"/>
    </sheetView>
  </sheetViews>
  <sheetFormatPr defaultRowHeight="14.5" x14ac:dyDescent="0.35"/>
  <cols>
    <col min="1" max="1" width="13.08984375" bestFit="1" customWidth="1"/>
    <col min="2" max="2" width="15.26953125" bestFit="1" customWidth="1"/>
    <col min="3" max="3" width="3.81640625" bestFit="1" customWidth="1"/>
    <col min="4" max="4" width="4.26953125" bestFit="1" customWidth="1"/>
    <col min="5" max="5" width="3.81640625" bestFit="1" customWidth="1"/>
    <col min="6" max="6" width="4.453125" bestFit="1" customWidth="1"/>
    <col min="7" max="7" width="3.6328125" bestFit="1" customWidth="1"/>
    <col min="8" max="8" width="3" bestFit="1" customWidth="1"/>
    <col min="9" max="9" width="10.7265625" bestFit="1" customWidth="1"/>
    <col min="10" max="22" width="10.54296875" bestFit="1" customWidth="1"/>
    <col min="23" max="24" width="10.7265625" bestFit="1" customWidth="1"/>
  </cols>
  <sheetData>
    <row r="3" spans="1:9" x14ac:dyDescent="0.35">
      <c r="A3" s="6" t="s">
        <v>65</v>
      </c>
      <c r="B3" s="6" t="s">
        <v>66</v>
      </c>
    </row>
    <row r="4" spans="1:9" x14ac:dyDescent="0.35">
      <c r="A4" s="6" t="s">
        <v>63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64</v>
      </c>
    </row>
    <row r="5" spans="1:9" x14ac:dyDescent="0.35">
      <c r="A5" s="7" t="s">
        <v>13</v>
      </c>
      <c r="B5" s="8">
        <v>6</v>
      </c>
      <c r="C5" s="8"/>
      <c r="D5" s="8">
        <v>1</v>
      </c>
      <c r="E5" s="8">
        <v>6</v>
      </c>
      <c r="F5" s="8">
        <v>2</v>
      </c>
      <c r="G5" s="8">
        <v>13</v>
      </c>
      <c r="H5" s="8"/>
      <c r="I5" s="8">
        <v>28</v>
      </c>
    </row>
    <row r="6" spans="1:9" x14ac:dyDescent="0.35">
      <c r="A6" s="7" t="s">
        <v>17</v>
      </c>
      <c r="B6" s="8"/>
      <c r="C6" s="8">
        <v>9</v>
      </c>
      <c r="D6" s="8">
        <v>3</v>
      </c>
      <c r="E6" s="8"/>
      <c r="F6" s="8"/>
      <c r="G6" s="8"/>
      <c r="H6" s="8">
        <v>2</v>
      </c>
      <c r="I6" s="8">
        <v>14</v>
      </c>
    </row>
    <row r="7" spans="1:9" x14ac:dyDescent="0.35">
      <c r="A7" s="7" t="s">
        <v>26</v>
      </c>
      <c r="B7" s="8">
        <v>1</v>
      </c>
      <c r="C7" s="8"/>
      <c r="D7" s="8">
        <v>6</v>
      </c>
      <c r="E7" s="8"/>
      <c r="F7" s="8"/>
      <c r="G7" s="8"/>
      <c r="H7" s="8"/>
      <c r="I7" s="8">
        <v>7</v>
      </c>
    </row>
    <row r="8" spans="1:9" x14ac:dyDescent="0.35">
      <c r="A8" s="7" t="s">
        <v>29</v>
      </c>
      <c r="B8" s="8">
        <v>2</v>
      </c>
      <c r="C8" s="8">
        <v>16</v>
      </c>
      <c r="D8" s="8"/>
      <c r="E8" s="8"/>
      <c r="F8" s="8">
        <v>3</v>
      </c>
      <c r="G8" s="8"/>
      <c r="H8" s="8"/>
      <c r="I8" s="8">
        <v>21</v>
      </c>
    </row>
    <row r="9" spans="1:9" x14ac:dyDescent="0.35">
      <c r="A9" s="7" t="s">
        <v>21</v>
      </c>
      <c r="B9" s="8"/>
      <c r="C9" s="8"/>
      <c r="D9" s="8"/>
      <c r="E9" s="8">
        <v>10</v>
      </c>
      <c r="F9" s="8">
        <v>9</v>
      </c>
      <c r="G9" s="8"/>
      <c r="H9" s="8"/>
      <c r="I9" s="8">
        <v>19</v>
      </c>
    </row>
    <row r="10" spans="1:9" x14ac:dyDescent="0.35">
      <c r="A10" s="7" t="s">
        <v>9</v>
      </c>
      <c r="B10" s="8">
        <v>5</v>
      </c>
      <c r="C10" s="8"/>
      <c r="D10" s="8"/>
      <c r="E10" s="8">
        <v>3</v>
      </c>
      <c r="F10" s="8"/>
      <c r="G10" s="8">
        <v>7</v>
      </c>
      <c r="H10" s="8">
        <v>1</v>
      </c>
      <c r="I10" s="8">
        <v>16</v>
      </c>
    </row>
    <row r="11" spans="1:9" x14ac:dyDescent="0.35">
      <c r="A11" s="7" t="s">
        <v>64</v>
      </c>
      <c r="B11" s="8">
        <v>14</v>
      </c>
      <c r="C11" s="8">
        <v>25</v>
      </c>
      <c r="D11" s="8">
        <v>10</v>
      </c>
      <c r="E11" s="8">
        <v>19</v>
      </c>
      <c r="F11" s="8">
        <v>14</v>
      </c>
      <c r="G11" s="8">
        <v>20</v>
      </c>
      <c r="H11" s="8">
        <v>3</v>
      </c>
      <c r="I11" s="8">
        <v>105</v>
      </c>
    </row>
    <row r="14" spans="1:9" x14ac:dyDescent="0.35">
      <c r="B14" s="9"/>
    </row>
    <row r="15" spans="1:9" x14ac:dyDescent="0.35">
      <c r="B1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zoomScale="85" zoomScaleNormal="100" workbookViewId="0">
      <pane ySplit="1" topLeftCell="A8" activePane="bottomLeft" state="frozen"/>
      <selection pane="bottomLeft" activeCell="I15" sqref="I15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22" customWidth="1"/>
    <col min="4" max="4" width="12" customWidth="1"/>
    <col min="5" max="5" width="10" customWidth="1"/>
    <col min="6" max="6" width="14" customWidth="1"/>
    <col min="7" max="7" width="13.90625" customWidth="1"/>
  </cols>
  <sheetData>
    <row r="1" spans="1:6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10">
        <v>46193</v>
      </c>
      <c r="C2" s="2" t="s">
        <v>7</v>
      </c>
      <c r="D2" s="2" t="s">
        <v>8</v>
      </c>
      <c r="E2" s="2">
        <v>7</v>
      </c>
      <c r="F2" s="2" t="s">
        <v>9</v>
      </c>
    </row>
    <row r="3" spans="1:6" x14ac:dyDescent="0.35">
      <c r="A3" s="2" t="s">
        <v>10</v>
      </c>
      <c r="B3" s="10">
        <v>46042</v>
      </c>
      <c r="C3" s="2" t="s">
        <v>11</v>
      </c>
      <c r="D3" s="2" t="s">
        <v>12</v>
      </c>
      <c r="E3" s="2">
        <v>2</v>
      </c>
      <c r="F3" s="2" t="s">
        <v>13</v>
      </c>
    </row>
    <row r="4" spans="1:6" x14ac:dyDescent="0.35">
      <c r="A4" s="2" t="s">
        <v>14</v>
      </c>
      <c r="B4" s="10">
        <v>46070</v>
      </c>
      <c r="C4" s="2" t="s">
        <v>15</v>
      </c>
      <c r="D4" s="2" t="s">
        <v>16</v>
      </c>
      <c r="E4" s="2">
        <v>9</v>
      </c>
      <c r="F4" s="2" t="s">
        <v>17</v>
      </c>
    </row>
    <row r="5" spans="1:6" x14ac:dyDescent="0.35">
      <c r="A5" s="2" t="s">
        <v>18</v>
      </c>
      <c r="B5" s="10">
        <v>46125</v>
      </c>
      <c r="C5" s="2" t="s">
        <v>19</v>
      </c>
      <c r="D5" s="2" t="s">
        <v>20</v>
      </c>
      <c r="E5" s="2">
        <v>10</v>
      </c>
      <c r="F5" s="2" t="s">
        <v>21</v>
      </c>
    </row>
    <row r="6" spans="1:6" x14ac:dyDescent="0.35">
      <c r="A6" s="2" t="s">
        <v>22</v>
      </c>
      <c r="B6" s="10">
        <v>46222</v>
      </c>
      <c r="C6" s="2" t="s">
        <v>23</v>
      </c>
      <c r="D6" s="2" t="s">
        <v>16</v>
      </c>
      <c r="E6" s="2">
        <v>2</v>
      </c>
      <c r="F6" s="2" t="s">
        <v>17</v>
      </c>
    </row>
    <row r="7" spans="1:6" x14ac:dyDescent="0.35">
      <c r="A7" s="2" t="s">
        <v>24</v>
      </c>
      <c r="B7" s="10">
        <v>46099</v>
      </c>
      <c r="C7" s="2" t="s">
        <v>25</v>
      </c>
      <c r="D7" s="2" t="s">
        <v>16</v>
      </c>
      <c r="E7" s="2">
        <v>6</v>
      </c>
      <c r="F7" s="2" t="s">
        <v>26</v>
      </c>
    </row>
    <row r="8" spans="1:6" x14ac:dyDescent="0.35">
      <c r="A8" s="2" t="s">
        <v>27</v>
      </c>
      <c r="B8" s="10">
        <v>46046</v>
      </c>
      <c r="C8" s="2" t="s">
        <v>23</v>
      </c>
      <c r="D8" s="2" t="s">
        <v>28</v>
      </c>
      <c r="E8" s="2">
        <v>2</v>
      </c>
      <c r="F8" s="2" t="s">
        <v>29</v>
      </c>
    </row>
    <row r="9" spans="1:6" x14ac:dyDescent="0.35">
      <c r="A9" s="3" t="s">
        <v>30</v>
      </c>
      <c r="B9" s="11">
        <v>46224</v>
      </c>
      <c r="C9" s="3" t="s">
        <v>7</v>
      </c>
      <c r="D9" s="3" t="s">
        <v>31</v>
      </c>
      <c r="E9" s="3">
        <v>1</v>
      </c>
      <c r="F9" s="3" t="s">
        <v>9</v>
      </c>
    </row>
    <row r="10" spans="1:6" x14ac:dyDescent="0.35">
      <c r="A10" s="2" t="s">
        <v>32</v>
      </c>
      <c r="B10" s="10">
        <v>46040</v>
      </c>
      <c r="C10" s="2" t="s">
        <v>25</v>
      </c>
      <c r="D10" s="2" t="s">
        <v>31</v>
      </c>
      <c r="E10" s="2">
        <v>5</v>
      </c>
      <c r="F10" s="2" t="s">
        <v>9</v>
      </c>
    </row>
    <row r="11" spans="1:6" x14ac:dyDescent="0.35">
      <c r="A11" s="2" t="s">
        <v>33</v>
      </c>
      <c r="B11" s="10">
        <v>46049</v>
      </c>
      <c r="C11" s="2" t="s">
        <v>23</v>
      </c>
      <c r="D11" s="2" t="s">
        <v>28</v>
      </c>
      <c r="E11" s="2">
        <v>1</v>
      </c>
      <c r="F11" s="2" t="s">
        <v>26</v>
      </c>
    </row>
    <row r="12" spans="1:6" x14ac:dyDescent="0.35">
      <c r="A12" s="2" t="s">
        <v>34</v>
      </c>
      <c r="B12" s="10">
        <v>46158</v>
      </c>
      <c r="C12" s="2" t="s">
        <v>25</v>
      </c>
      <c r="D12" s="2" t="s">
        <v>20</v>
      </c>
      <c r="E12" s="2">
        <v>3</v>
      </c>
      <c r="F12" s="2" t="s">
        <v>29</v>
      </c>
    </row>
    <row r="13" spans="1:6" x14ac:dyDescent="0.35">
      <c r="A13" s="2" t="s">
        <v>35</v>
      </c>
      <c r="B13" s="10">
        <v>46071</v>
      </c>
      <c r="C13" s="2" t="s">
        <v>25</v>
      </c>
      <c r="D13" s="2" t="s">
        <v>16</v>
      </c>
      <c r="E13" s="2">
        <v>9</v>
      </c>
      <c r="F13" s="2" t="s">
        <v>29</v>
      </c>
    </row>
    <row r="14" spans="1:6" x14ac:dyDescent="0.35">
      <c r="A14" s="2" t="s">
        <v>36</v>
      </c>
      <c r="B14" s="10">
        <v>46160</v>
      </c>
      <c r="C14" s="2" t="s">
        <v>15</v>
      </c>
      <c r="D14" s="2" t="s">
        <v>31</v>
      </c>
      <c r="E14" s="2">
        <v>9</v>
      </c>
      <c r="F14" s="2" t="s">
        <v>21</v>
      </c>
    </row>
    <row r="15" spans="1:6" x14ac:dyDescent="0.35">
      <c r="A15" s="2" t="s">
        <v>37</v>
      </c>
      <c r="B15" s="10">
        <v>46076</v>
      </c>
      <c r="C15" s="2" t="s">
        <v>23</v>
      </c>
      <c r="D15" s="2" t="s">
        <v>28</v>
      </c>
      <c r="E15" s="2">
        <v>7</v>
      </c>
      <c r="F15" s="2" t="s">
        <v>29</v>
      </c>
    </row>
    <row r="16" spans="1:6" x14ac:dyDescent="0.35">
      <c r="A16" s="2" t="s">
        <v>38</v>
      </c>
      <c r="B16" s="10">
        <v>46133</v>
      </c>
      <c r="C16" s="2" t="s">
        <v>25</v>
      </c>
      <c r="D16" s="2" t="s">
        <v>20</v>
      </c>
      <c r="E16" s="2">
        <v>6</v>
      </c>
      <c r="F16" s="2" t="s">
        <v>13</v>
      </c>
    </row>
    <row r="17" spans="1:6" x14ac:dyDescent="0.35">
      <c r="A17" s="2" t="s">
        <v>39</v>
      </c>
      <c r="B17" s="10">
        <v>46108</v>
      </c>
      <c r="C17" s="2" t="s">
        <v>7</v>
      </c>
      <c r="D17" s="2" t="s">
        <v>20</v>
      </c>
      <c r="E17" s="2">
        <v>1</v>
      </c>
      <c r="F17" s="2" t="s">
        <v>13</v>
      </c>
    </row>
    <row r="18" spans="1:6" x14ac:dyDescent="0.35">
      <c r="A18" s="3" t="s">
        <v>40</v>
      </c>
      <c r="B18" s="11">
        <v>46140</v>
      </c>
      <c r="C18" s="3" t="s">
        <v>41</v>
      </c>
      <c r="D18" s="3" t="s">
        <v>42</v>
      </c>
      <c r="E18" s="3">
        <v>3</v>
      </c>
      <c r="F18" s="3" t="s">
        <v>9</v>
      </c>
    </row>
    <row r="19" spans="1:6" x14ac:dyDescent="0.35">
      <c r="A19" s="2" t="s">
        <v>43</v>
      </c>
      <c r="B19" s="10">
        <v>46201</v>
      </c>
      <c r="C19" s="2" t="s">
        <v>11</v>
      </c>
      <c r="D19" s="2" t="s">
        <v>28</v>
      </c>
      <c r="E19" s="2">
        <v>6</v>
      </c>
      <c r="F19" s="2" t="s">
        <v>13</v>
      </c>
    </row>
    <row r="20" spans="1:6" x14ac:dyDescent="0.35">
      <c r="A20" s="2" t="s">
        <v>44</v>
      </c>
      <c r="B20" s="10">
        <v>46093</v>
      </c>
      <c r="C20" s="2" t="s">
        <v>25</v>
      </c>
      <c r="D20" s="2" t="s">
        <v>16</v>
      </c>
      <c r="E20" s="2">
        <v>3</v>
      </c>
      <c r="F20" s="2" t="s">
        <v>17</v>
      </c>
    </row>
    <row r="21" spans="1:6" x14ac:dyDescent="0.35">
      <c r="A21" s="2" t="s">
        <v>45</v>
      </c>
      <c r="B21" s="10">
        <v>46193</v>
      </c>
      <c r="C21" s="2" t="s">
        <v>23</v>
      </c>
      <c r="D21" s="2" t="s">
        <v>12</v>
      </c>
      <c r="E21" s="2">
        <v>7</v>
      </c>
      <c r="F21" s="2" t="s">
        <v>13</v>
      </c>
    </row>
    <row r="22" spans="1:6" x14ac:dyDescent="0.35">
      <c r="A22" s="2" t="s">
        <v>46</v>
      </c>
      <c r="B22" s="10">
        <v>46032</v>
      </c>
      <c r="C22" s="2" t="s">
        <v>41</v>
      </c>
      <c r="D22" s="2" t="s">
        <v>16</v>
      </c>
      <c r="E22" s="2">
        <v>4</v>
      </c>
      <c r="F22" s="2" t="s">
        <v>13</v>
      </c>
    </row>
    <row r="23" spans="1:6" x14ac:dyDescent="0.35">
      <c r="A23" s="2" t="s">
        <v>47</v>
      </c>
      <c r="B23" s="10">
        <v>46167</v>
      </c>
      <c r="C23" s="2" t="s">
        <v>23</v>
      </c>
      <c r="D23" s="2" t="s">
        <v>42</v>
      </c>
      <c r="E23" s="2">
        <v>2</v>
      </c>
      <c r="F23" s="2" t="s">
        <v>13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14" customWidth="1"/>
  </cols>
  <sheetData>
    <row r="1" spans="1:3" x14ac:dyDescent="0.35">
      <c r="A1" s="1" t="s">
        <v>3</v>
      </c>
      <c r="B1" s="1" t="s">
        <v>48</v>
      </c>
      <c r="C1" s="1" t="s">
        <v>49</v>
      </c>
    </row>
    <row r="2" spans="1:3" x14ac:dyDescent="0.35">
      <c r="A2" s="2" t="s">
        <v>42</v>
      </c>
      <c r="B2" s="2" t="s">
        <v>50</v>
      </c>
      <c r="C2" s="4">
        <v>5000</v>
      </c>
    </row>
    <row r="3" spans="1:3" x14ac:dyDescent="0.35">
      <c r="A3" s="2" t="s">
        <v>31</v>
      </c>
      <c r="B3" s="2" t="s">
        <v>51</v>
      </c>
      <c r="C3" s="4">
        <v>8000</v>
      </c>
    </row>
    <row r="4" spans="1:3" x14ac:dyDescent="0.35">
      <c r="A4" s="2" t="s">
        <v>52</v>
      </c>
      <c r="B4" s="2" t="s">
        <v>53</v>
      </c>
      <c r="C4" s="4">
        <v>4000</v>
      </c>
    </row>
    <row r="5" spans="1:3" x14ac:dyDescent="0.35">
      <c r="A5" s="2" t="s">
        <v>16</v>
      </c>
      <c r="B5" s="2" t="s">
        <v>54</v>
      </c>
      <c r="C5" s="4">
        <v>12000</v>
      </c>
    </row>
    <row r="6" spans="1:3" x14ac:dyDescent="0.35">
      <c r="A6" s="2" t="s">
        <v>12</v>
      </c>
      <c r="B6" s="2" t="s">
        <v>55</v>
      </c>
      <c r="C6" s="4">
        <v>25000</v>
      </c>
    </row>
    <row r="7" spans="1:3" x14ac:dyDescent="0.35">
      <c r="A7" s="2" t="s">
        <v>20</v>
      </c>
      <c r="B7" s="2" t="s">
        <v>56</v>
      </c>
      <c r="C7" s="4">
        <v>45000</v>
      </c>
    </row>
    <row r="8" spans="1:3" x14ac:dyDescent="0.35">
      <c r="A8" s="2" t="s">
        <v>28</v>
      </c>
      <c r="B8" s="2" t="s">
        <v>57</v>
      </c>
      <c r="C8" s="4">
        <v>3000</v>
      </c>
    </row>
    <row r="9" spans="1:3" x14ac:dyDescent="0.35">
      <c r="A9" s="2" t="s">
        <v>8</v>
      </c>
      <c r="B9" s="2" t="s">
        <v>58</v>
      </c>
      <c r="C9" s="4">
        <v>35000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zoomScaleNormal="100" workbookViewId="0">
      <pane ySplit="1" topLeftCell="A2" activePane="bottomLeft" state="frozen"/>
      <selection pane="bottomLeft" activeCell="E7" sqref="E7"/>
    </sheetView>
  </sheetViews>
  <sheetFormatPr defaultColWidth="8.6328125" defaultRowHeight="14.5" x14ac:dyDescent="0.35"/>
  <cols>
    <col min="1" max="1" width="14" customWidth="1"/>
    <col min="2" max="2" width="26" customWidth="1"/>
    <col min="3" max="3" width="22" customWidth="1"/>
  </cols>
  <sheetData>
    <row r="1" spans="1:3" ht="28" x14ac:dyDescent="0.35">
      <c r="A1" s="1" t="s">
        <v>3</v>
      </c>
      <c r="B1" s="1" t="s">
        <v>59</v>
      </c>
      <c r="C1" s="1" t="s">
        <v>60</v>
      </c>
    </row>
    <row r="2" spans="1:3" x14ac:dyDescent="0.35">
      <c r="A2" s="2" t="s">
        <v>52</v>
      </c>
      <c r="B2" s="2" t="str">
        <f>VLOOKUP(A2,Referensi_Produk!$A$2:$C$9,2,FALSE())</f>
        <v>Penggaris 30cm</v>
      </c>
      <c r="C2" s="4">
        <f>VLOOKUP(A2,Referensi_Produk!$A$2:$C$9,3,FALSE())</f>
        <v>4000</v>
      </c>
    </row>
    <row r="3" spans="1:3" x14ac:dyDescent="0.35">
      <c r="A3" s="2" t="s">
        <v>12</v>
      </c>
      <c r="B3" s="2" t="str">
        <f>VLOOKUP(A3,Referensi_Produk!$A$2:$C$9,2,FALSE())</f>
        <v>Stapler</v>
      </c>
      <c r="C3" s="4">
        <f>VLOOKUP(A3,Referensi_Produk!$A$2:$C$9,3,FALSE())</f>
        <v>25000</v>
      </c>
    </row>
    <row r="4" spans="1:3" x14ac:dyDescent="0.35">
      <c r="A4" s="2" t="s">
        <v>42</v>
      </c>
      <c r="B4" s="2" t="str">
        <f>VLOOKUP(A4,Referensi_Produk!$A$2:$C$9,2,FALSE())</f>
        <v>Pulpen Gel</v>
      </c>
      <c r="C4" s="4">
        <f>VLOOKUP(A4,Referensi_Produk!$A$2:$C$9,3,FALSE())</f>
        <v>5000</v>
      </c>
    </row>
    <row r="5" spans="1:3" x14ac:dyDescent="0.35">
      <c r="A5" s="2" t="s">
        <v>28</v>
      </c>
      <c r="B5" s="2" t="str">
        <f>VLOOKUP(A5,Referensi_Produk!$A$2:$C$9,2,FALSE())</f>
        <v>Map Plastik</v>
      </c>
      <c r="C5" s="4">
        <f>VLOOKUP(A5,Referensi_Produk!$A$2:$C$9,3,FALSE())</f>
        <v>3000</v>
      </c>
    </row>
    <row r="6" spans="1:3" x14ac:dyDescent="0.35">
      <c r="A6" s="2" t="s">
        <v>31</v>
      </c>
      <c r="B6" s="2" t="str">
        <f>VLOOKUP(A6,Referensi_Produk!$A$2:$C$9,2,FALSE())</f>
        <v>Buku Tulis</v>
      </c>
      <c r="C6" s="4">
        <f>VLOOKUP(A6,Referensi_Produk!$A$2:$C$9,3,FALSE())</f>
        <v>8000</v>
      </c>
    </row>
    <row r="7" spans="1:3" x14ac:dyDescent="0.35">
      <c r="A7" s="2" t="s">
        <v>8</v>
      </c>
      <c r="B7" s="2" t="str">
        <f>VLOOKUP(A7,Referensi_Produk!$A$2:$C$9,2,FALSE())</f>
        <v>Tinta Printer</v>
      </c>
      <c r="C7" s="4">
        <f>VLOOKUP(A7,Referensi_Produk!$A$2:$C$9,3,FALSE())</f>
        <v>35000</v>
      </c>
    </row>
    <row r="8" spans="1:3" x14ac:dyDescent="0.35">
      <c r="A8" s="2" t="s">
        <v>16</v>
      </c>
      <c r="B8" s="2" t="str">
        <f>VLOOKUP(A8,Referensi_Produk!$A$2:$C$9,2,FALSE())</f>
        <v>Spidol Papan</v>
      </c>
      <c r="C8" s="4">
        <f>VLOOKUP(A8,Referensi_Produk!$A$2:$C$9,3,FALSE())</f>
        <v>12000</v>
      </c>
    </row>
    <row r="9" spans="1:3" x14ac:dyDescent="0.35">
      <c r="A9" s="2" t="s">
        <v>20</v>
      </c>
      <c r="B9" s="2" t="str">
        <f>VLOOKUP(A9,Referensi_Produk!$A$2:$C$9,2,FALSE())</f>
        <v>Kertas HVS (rim)</v>
      </c>
      <c r="C9" s="4">
        <f>VLOOKUP(A9,Referensi_Produk!$A$2:$C$9,3,FALSE())</f>
        <v>45000</v>
      </c>
    </row>
    <row r="11" spans="1:3" x14ac:dyDescent="0.35">
      <c r="A11" s="5" t="s">
        <v>61</v>
      </c>
    </row>
    <row r="12" spans="1:3" x14ac:dyDescent="0.35">
      <c r="A12" s="5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Data_Transaksi</vt:lpstr>
      <vt:lpstr>Referensi_Produk</vt:lpstr>
      <vt:lpstr>Latihan_VLOOKUP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Nia Septi Tri Pertiwi</cp:lastModifiedBy>
  <cp:revision>0</cp:revision>
  <dcterms:created xsi:type="dcterms:W3CDTF">2026-08-20T12:39:30Z</dcterms:created>
  <dcterms:modified xsi:type="dcterms:W3CDTF">2026-08-22T05:24:14Z</dcterms:modified>
  <dc:language>en-US</dc:language>
</cp:coreProperties>
</file>