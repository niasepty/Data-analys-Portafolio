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A67B350-2B70-4710-9BA4-0EB05CFAF219}" xr6:coauthVersionLast="47" xr6:coauthVersionMax="47" xr10:uidLastSave="{00000000-0000-0000-0000-000000000000}"/>
  <bookViews>
    <workbookView xWindow="9510" yWindow="0" windowWidth="9780" windowHeight="10170" tabRatio="500" firstSheet="4" activeTab="4" xr2:uid="{00000000-000D-0000-FFFF-FFFF00000000}"/>
  </bookViews>
  <sheets>
    <sheet name="pivot_cabang_barang" sheetId="5" r:id="rId1"/>
    <sheet name="pivot_Sales" sheetId="6" r:id="rId2"/>
    <sheet name="Data_Penjualan" sheetId="1" r:id="rId3"/>
    <sheet name="Referensi_Barang" sheetId="2" r:id="rId4"/>
    <sheet name="Latihan_VLOOKUP" sheetId="3" r:id="rId5"/>
  </sheets>
  <definedNames>
    <definedName name="_xlcn.WorksheetConnection_Data_PenjualanA1F231" hidden="1">Data_Penjualan!$A$1:$F$23</definedName>
  </definedNames>
  <calcPr calcId="191029" iterateDelta="1E-4"/>
  <pivotCaches>
    <pivotCache cacheId="0" r:id="rId6"/>
    <pivotCache cacheId="1" r:id="rId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_Penjualan!$A$1:$F$2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2" i="3"/>
  <c r="B3" i="3"/>
  <c r="B4" i="3"/>
  <c r="B5" i="3"/>
  <c r="B6" i="3"/>
  <c r="B7" i="3"/>
  <c r="B8" i="3"/>
  <c r="B9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52AA24-65CB-4150-9600-B11A6EC825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6E4E0C5-8EDE-449E-88F4-2FA1F3DEE219}" name="WorksheetConnection_Data_Penjualan!$A$1:$F$2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_PenjualanA1F231"/>
        </x15:connection>
      </ext>
    </extLst>
  </connection>
</connections>
</file>

<file path=xl/sharedStrings.xml><?xml version="1.0" encoding="utf-8"?>
<sst xmlns="http://schemas.openxmlformats.org/spreadsheetml/2006/main" count="181" uniqueCount="84">
  <si>
    <t>ID Transaksi</t>
  </si>
  <si>
    <t>Tanggal</t>
  </si>
  <si>
    <t>Nama Sales</t>
  </si>
  <si>
    <t>Kode Barang</t>
  </si>
  <si>
    <t>Qty</t>
  </si>
  <si>
    <t>Cabang</t>
  </si>
  <si>
    <t>TX2001</t>
  </si>
  <si>
    <t>21/01/2026</t>
  </si>
  <si>
    <t>Fajar Ramadhan</t>
  </si>
  <si>
    <t>E004</t>
  </si>
  <si>
    <t>Cirebon</t>
  </si>
  <si>
    <t>TX2006</t>
  </si>
  <si>
    <t>28/01/2026</t>
  </si>
  <si>
    <t>Bayu Aji</t>
  </si>
  <si>
    <t>E003</t>
  </si>
  <si>
    <t>Surabaya</t>
  </si>
  <si>
    <t>TX2008</t>
  </si>
  <si>
    <t>Bekasi</t>
  </si>
  <si>
    <t>TX2019</t>
  </si>
  <si>
    <t>17/02/2026</t>
  </si>
  <si>
    <t>Rio Pratama</t>
  </si>
  <si>
    <t>E007</t>
  </si>
  <si>
    <t>TX2014</t>
  </si>
  <si>
    <t>20/05/2026</t>
  </si>
  <si>
    <t>Citra Ayu</t>
  </si>
  <si>
    <t>E006</t>
  </si>
  <si>
    <t>TX2098</t>
  </si>
  <si>
    <t>12/05/2026</t>
  </si>
  <si>
    <t>Jakarta</t>
  </si>
  <si>
    <t>TX2003</t>
  </si>
  <si>
    <t>11/04/2026</t>
  </si>
  <si>
    <t>Dewi Lestari</t>
  </si>
  <si>
    <t>TX2011</t>
  </si>
  <si>
    <t>26/03/2026</t>
  </si>
  <si>
    <t>Wulan Sari</t>
  </si>
  <si>
    <t>TX2015</t>
  </si>
  <si>
    <t>24/07/2026</t>
  </si>
  <si>
    <t>E002</t>
  </si>
  <si>
    <t>Semarang</t>
  </si>
  <si>
    <t>TX2010</t>
  </si>
  <si>
    <t>17/03/2026</t>
  </si>
  <si>
    <t>Hendra Gunawan</t>
  </si>
  <si>
    <t>TX2018</t>
  </si>
  <si>
    <t>13/02/2026</t>
  </si>
  <si>
    <t>E001</t>
  </si>
  <si>
    <t>TX2020</t>
  </si>
  <si>
    <t>24/02/2026</t>
  </si>
  <si>
    <t>E005</t>
  </si>
  <si>
    <t>TX2009</t>
  </si>
  <si>
    <t>23/05/2026</t>
  </si>
  <si>
    <t>E008</t>
  </si>
  <si>
    <t>TX2013</t>
  </si>
  <si>
    <t>25/02/2026</t>
  </si>
  <si>
    <t>TX2016</t>
  </si>
  <si>
    <t>12/06/2026</t>
  </si>
  <si>
    <t>TX2000</t>
  </si>
  <si>
    <t>14/03/2026</t>
  </si>
  <si>
    <t>TX2017</t>
  </si>
  <si>
    <t>22/06/2026</t>
  </si>
  <si>
    <t>TX2099</t>
  </si>
  <si>
    <t>14/07/2026</t>
  </si>
  <si>
    <t>TX2021</t>
  </si>
  <si>
    <t>27/07/2026</t>
  </si>
  <si>
    <t>TX2002</t>
  </si>
  <si>
    <t>23/04/2026</t>
  </si>
  <si>
    <t>TX2004</t>
  </si>
  <si>
    <t>22/05/2026</t>
  </si>
  <si>
    <t>TX2007</t>
  </si>
  <si>
    <t>16/05/2026</t>
  </si>
  <si>
    <t>Nama Barang</t>
  </si>
  <si>
    <t>Harga Satuan</t>
  </si>
  <si>
    <t>Kipas Angin</t>
  </si>
  <si>
    <t>Setrika</t>
  </si>
  <si>
    <t>Rice Cooker</t>
  </si>
  <si>
    <t>Blender</t>
  </si>
  <si>
    <t>Kompor Listrik</t>
  </si>
  <si>
    <t>Dispenser</t>
  </si>
  <si>
    <t>Air Fryer</t>
  </si>
  <si>
    <t>Vacuum Cleaner</t>
  </si>
  <si>
    <t>Nama Barang (VLOOKUP)</t>
  </si>
  <si>
    <t>Harga Satuan (VLOOKUP)</t>
  </si>
  <si>
    <t>Row Labels</t>
  </si>
  <si>
    <t>Grand Total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</si>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</sst>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0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[Latihan2_Penjualan_Elektronik.xlsx]pivot_cabang_barang!PivotTable2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penjualan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472716041840613E-2"/>
          <c:y val="0.25866219353642272"/>
          <c:w val="0.77494905160003835"/>
          <c:h val="0.402444234749811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pivot_cabang_barang!$B$3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pivot_cabang_barang!$A$4:$A$26</c:f>
              <c:multiLvlStrCache>
                <c:ptCount val="17"/>
                <c:lvl>
                  <c:pt idx="0">
                    <c:v>E002</c:v>
                  </c:pt>
                  <c:pt idx="1">
                    <c:v>E004</c:v>
                  </c:pt>
                  <c:pt idx="2">
                    <c:v>E007</c:v>
                  </c:pt>
                  <c:pt idx="3">
                    <c:v>E004</c:v>
                  </c:pt>
                  <c:pt idx="4">
                    <c:v>E007</c:v>
                  </c:pt>
                  <c:pt idx="5">
                    <c:v>E001</c:v>
                  </c:pt>
                  <c:pt idx="6">
                    <c:v>E005</c:v>
                  </c:pt>
                  <c:pt idx="7">
                    <c:v>E006</c:v>
                  </c:pt>
                  <c:pt idx="8">
                    <c:v>E007</c:v>
                  </c:pt>
                  <c:pt idx="9">
                    <c:v>E008</c:v>
                  </c:pt>
                  <c:pt idx="10">
                    <c:v>E002</c:v>
                  </c:pt>
                  <c:pt idx="11">
                    <c:v>E005</c:v>
                  </c:pt>
                  <c:pt idx="12">
                    <c:v>E001</c:v>
                  </c:pt>
                  <c:pt idx="13">
                    <c:v>E003</c:v>
                  </c:pt>
                  <c:pt idx="14">
                    <c:v>E004</c:v>
                  </c:pt>
                  <c:pt idx="15">
                    <c:v>E006</c:v>
                  </c:pt>
                  <c:pt idx="16">
                    <c:v>E007</c:v>
                  </c:pt>
                </c:lvl>
                <c:lvl>
                  <c:pt idx="0">
                    <c:v>Bekasi</c:v>
                  </c:pt>
                  <c:pt idx="3">
                    <c:v>Cirebon</c:v>
                  </c:pt>
                  <c:pt idx="5">
                    <c:v>Jakarta</c:v>
                  </c:pt>
                  <c:pt idx="10">
                    <c:v>Semarang</c:v>
                  </c:pt>
                  <c:pt idx="12">
                    <c:v>Surabaya</c:v>
                  </c:pt>
                </c:lvl>
              </c:multiLvlStrCache>
            </c:multiLvlStrRef>
          </c:cat>
          <c:val>
            <c:numRef>
              <c:f>pivot_cabang_barang!$B$4:$B$26</c:f>
              <c:numCache>
                <c:formatCode>0.00%</c:formatCode>
                <c:ptCount val="17"/>
                <c:pt idx="0">
                  <c:v>8.8235294117647065E-2</c:v>
                </c:pt>
                <c:pt idx="1">
                  <c:v>7.8431372549019607E-2</c:v>
                </c:pt>
                <c:pt idx="2">
                  <c:v>5.8823529411764705E-2</c:v>
                </c:pt>
                <c:pt idx="3">
                  <c:v>9.8039215686274508E-3</c:v>
                </c:pt>
                <c:pt idx="4">
                  <c:v>7.8431372549019607E-2</c:v>
                </c:pt>
                <c:pt idx="5">
                  <c:v>0.11764705882352941</c:v>
                </c:pt>
                <c:pt idx="6">
                  <c:v>7.8431372549019607E-2</c:v>
                </c:pt>
                <c:pt idx="7">
                  <c:v>7.8431372549019607E-2</c:v>
                </c:pt>
                <c:pt idx="8">
                  <c:v>2.9411764705882353E-2</c:v>
                </c:pt>
                <c:pt idx="9">
                  <c:v>7.8431372549019607E-2</c:v>
                </c:pt>
                <c:pt idx="10">
                  <c:v>4.9019607843137254E-2</c:v>
                </c:pt>
                <c:pt idx="11">
                  <c:v>2.9411764705882353E-2</c:v>
                </c:pt>
                <c:pt idx="12">
                  <c:v>3.9215686274509803E-2</c:v>
                </c:pt>
                <c:pt idx="13">
                  <c:v>1.9607843137254902E-2</c:v>
                </c:pt>
                <c:pt idx="14">
                  <c:v>5.8823529411764705E-2</c:v>
                </c:pt>
                <c:pt idx="15">
                  <c:v>7.8431372549019607E-2</c:v>
                </c:pt>
                <c:pt idx="16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B-4C0C-A137-0719B42A1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3037599"/>
        <c:axId val="297586047"/>
      </c:barChart>
      <c:catAx>
        <c:axId val="87303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86047"/>
        <c:crosses val="autoZero"/>
        <c:auto val="1"/>
        <c:lblAlgn val="ctr"/>
        <c:lblOffset val="100"/>
        <c:noMultiLvlLbl val="0"/>
      </c:catAx>
      <c:valAx>
        <c:axId val="2975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03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76987</xdr:colOff>
      <xdr:row>4</xdr:row>
      <xdr:rowOff>95081</xdr:rowOff>
    </xdr:from>
    <xdr:to>
      <xdr:col>11</xdr:col>
      <xdr:colOff>545089</xdr:colOff>
      <xdr:row>17</xdr:row>
      <xdr:rowOff>162965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03C361-D1D3-0C1D-2DA3-042866AFC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57.596429745368" backgroundQuery="1" createdVersion="8" refreshedVersion="8" minRefreshableVersion="3" recordCount="0" supportSubquery="1" supportAdvancedDrill="1" xr:uid="{54BE65FD-304C-4062-B030-724748D4BF3A}">
  <cacheSource type="external" connectionId="1"/>
  <cacheFields count="3">
    <cacheField name="[Measures].[Sum of Qty]" caption="Sum of Qty" numFmtId="0" hierarchy="8" level="32767"/>
    <cacheField name="[Range].[Cabang].[Cabang]" caption="Cabang" numFmtId="0" hierarchy="5" level="1">
      <sharedItems count="5">
        <s v="Bekasi"/>
        <s v="Cirebon"/>
        <s v="Jakarta"/>
        <s v="Semarang"/>
        <s v="Surabaya"/>
      </sharedItems>
    </cacheField>
    <cacheField name="[Range].[Kode Barang].[Kode Barang]" caption="Kode Barang" numFmtId="0" hierarchy="3" level="1">
      <sharedItems count="8">
        <s v="E002"/>
        <s v="E004"/>
        <s v="E007"/>
        <s v="E001"/>
        <s v="E005"/>
        <s v="E006"/>
        <s v="E008"/>
        <s v="E003"/>
      </sharedItems>
    </cacheField>
  </cacheFields>
  <cacheHierarchies count="9">
    <cacheHierarchy uniqueName="[Range].[ID Transaksi]" caption="ID Transaksi" attribute="1" defaultMemberUniqueName="[Range].[ID Transaksi].[All]" allUniqueName="[Range].[ID Transaksi].[All]" dimensionUniqueName="[Range]" displayFolder="" count="0" memberValueDatatype="130" unbalanced="0"/>
    <cacheHierarchy uniqueName="[Range].[Tanggal]" caption="Tanggal" attribute="1" defaultMemberUniqueName="[Range].[Tanggal].[All]" allUniqueName="[Range].[Tanggal].[All]" dimensionUniqueName="[Range]" displayFolder="" count="0" memberValueDatatype="130" unbalanced="0"/>
    <cacheHierarchy uniqueName="[Range].[Nama Sales]" caption="Nama Sales" attribute="1" defaultMemberUniqueName="[Range].[Nama Sales].[All]" allUniqueName="[Range].[Nama Sales].[All]" dimensionUniqueName="[Range]" displayFolder="" count="0" memberValueDatatype="130" unbalanced="0"/>
    <cacheHierarchy uniqueName="[Range].[Kode Barang]" caption="Kode Barang" attribute="1" defaultMemberUniqueName="[Range].[Kode Barang].[All]" allUniqueName="[Range].[Kode Barang].[All]" dimensionUniqueName="[Range]" displayFolder="" count="2" memberValueDatatype="130" unbalanced="0">
      <fieldsUsage count="2">
        <fieldUsage x="-1"/>
        <fieldUsage x="2"/>
      </fieldsUsage>
    </cacheHierarchy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Range].[Cabang]" caption="Cabang" attribute="1" defaultMemberUniqueName="[Range].[Cabang].[All]" allUniqueName="[Range].[Cabang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8.619535532409" createdVersion="8" refreshedVersion="8" minRefreshableVersion="3" recordCount="22" xr:uid="{86D31B94-C1AF-43CD-B848-EDAB04958A6D}">
  <cacheSource type="worksheet">
    <worksheetSource ref="A1:F23" sheet="Data_Penjualan"/>
  </cacheSource>
  <cacheFields count="6">
    <cacheField name="ID Transaksi" numFmtId="0">
      <sharedItems/>
    </cacheField>
    <cacheField name="Tanggal" numFmtId="0">
      <sharedItems/>
    </cacheField>
    <cacheField name="Nama Sales" numFmtId="0">
      <sharedItems count="7">
        <s v="Fajar Ramadhan"/>
        <s v="Bayu Aji"/>
        <s v="Rio Pratama"/>
        <s v="Citra Ayu"/>
        <s v="Dewi Lestari"/>
        <s v="Wulan Sari"/>
        <s v="Hendra Gunawan"/>
      </sharedItems>
    </cacheField>
    <cacheField name="Kode Barang" numFmtId="0">
      <sharedItems count="8">
        <s v="E004"/>
        <s v="E003"/>
        <s v="E007"/>
        <s v="E006"/>
        <s v="E002"/>
        <s v="E001"/>
        <s v="E005"/>
        <s v="E008"/>
      </sharedItems>
    </cacheField>
    <cacheField name="Qty" numFmtId="0">
      <sharedItems containsSemiMixedTypes="0" containsString="0" containsNumber="1" containsInteger="1" minValue="1" maxValue="9"/>
    </cacheField>
    <cacheField name="Caba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TX2001"/>
    <s v="21/01/2026"/>
    <x v="0"/>
    <x v="0"/>
    <n v="1"/>
    <s v="Cirebon"/>
  </r>
  <r>
    <s v="TX2006"/>
    <s v="28/01/2026"/>
    <x v="1"/>
    <x v="1"/>
    <n v="2"/>
    <s v="Surabaya"/>
  </r>
  <r>
    <s v="TX2008"/>
    <s v="28/01/2026"/>
    <x v="0"/>
    <x v="0"/>
    <n v="8"/>
    <s v="Bekasi"/>
  </r>
  <r>
    <s v="TX2019"/>
    <s v="17/02/2026"/>
    <x v="2"/>
    <x v="2"/>
    <n v="8"/>
    <s v="Cirebon"/>
  </r>
  <r>
    <s v="TX2014"/>
    <s v="20/05/2026"/>
    <x v="3"/>
    <x v="3"/>
    <n v="8"/>
    <s v="Surabaya"/>
  </r>
  <r>
    <s v="TX2098"/>
    <s v="12/05/2026"/>
    <x v="4"/>
    <x v="2"/>
    <n v="3"/>
    <s v="Jakarta"/>
  </r>
  <r>
    <s v="TX2003"/>
    <s v="11/04/2026"/>
    <x v="4"/>
    <x v="0"/>
    <n v="1"/>
    <s v="Surabaya"/>
  </r>
  <r>
    <s v="TX2011"/>
    <s v="26/03/2026"/>
    <x v="5"/>
    <x v="3"/>
    <n v="8"/>
    <s v="Jakarta"/>
  </r>
  <r>
    <s v="TX2015"/>
    <s v="24/07/2026"/>
    <x v="4"/>
    <x v="4"/>
    <n v="5"/>
    <s v="Semarang"/>
  </r>
  <r>
    <s v="TX2010"/>
    <s v="17/03/2026"/>
    <x v="6"/>
    <x v="0"/>
    <n v="2"/>
    <s v="Surabaya"/>
  </r>
  <r>
    <s v="TX2018"/>
    <s v="13/02/2026"/>
    <x v="5"/>
    <x v="5"/>
    <n v="4"/>
    <s v="Jakarta"/>
  </r>
  <r>
    <s v="TX2020"/>
    <s v="24/02/2026"/>
    <x v="2"/>
    <x v="6"/>
    <n v="3"/>
    <s v="Semarang"/>
  </r>
  <r>
    <s v="TX2009"/>
    <s v="23/05/2026"/>
    <x v="3"/>
    <x v="7"/>
    <n v="8"/>
    <s v="Jakarta"/>
  </r>
  <r>
    <s v="TX2013"/>
    <s v="25/02/2026"/>
    <x v="2"/>
    <x v="5"/>
    <n v="2"/>
    <s v="Surabaya"/>
  </r>
  <r>
    <s v="TX2016"/>
    <s v="12/06/2026"/>
    <x v="0"/>
    <x v="6"/>
    <n v="8"/>
    <s v="Jakarta"/>
  </r>
  <r>
    <s v="TX2000"/>
    <s v="14/03/2026"/>
    <x v="2"/>
    <x v="5"/>
    <n v="2"/>
    <s v="Surabaya"/>
  </r>
  <r>
    <s v="TX2017"/>
    <s v="22/06/2026"/>
    <x v="3"/>
    <x v="5"/>
    <n v="8"/>
    <s v="Jakarta"/>
  </r>
  <r>
    <s v="TX2099"/>
    <s v="14/07/2026"/>
    <x v="1"/>
    <x v="2"/>
    <n v="3"/>
    <s v="Surabaya"/>
  </r>
  <r>
    <s v="TX2021"/>
    <s v="27/07/2026"/>
    <x v="1"/>
    <x v="2"/>
    <n v="6"/>
    <s v="Bekasi"/>
  </r>
  <r>
    <s v="TX2002"/>
    <s v="23/04/2026"/>
    <x v="4"/>
    <x v="0"/>
    <n v="2"/>
    <s v="Surabaya"/>
  </r>
  <r>
    <s v="TX2004"/>
    <s v="22/05/2026"/>
    <x v="0"/>
    <x v="0"/>
    <n v="1"/>
    <s v="Surabaya"/>
  </r>
  <r>
    <s v="TX2007"/>
    <s v="16/05/2026"/>
    <x v="3"/>
    <x v="4"/>
    <n v="9"/>
    <s v="Beka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D1389-A30F-4063-B13E-73CCA93AECA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6" firstHeaderRow="1" firstDataRow="1" firstDataCol="1"/>
  <pivotFields count="3">
    <pivotField dataField="1" subtotalTop="0" showAll="0" defaultSubtota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"/>
    <field x="2"/>
  </rowFields>
  <rowItems count="23">
    <i>
      <x/>
    </i>
    <i r="1">
      <x/>
    </i>
    <i r="1">
      <x v="1"/>
    </i>
    <i r="1">
      <x v="2"/>
    </i>
    <i>
      <x v="1"/>
    </i>
    <i r="1">
      <x v="1"/>
    </i>
    <i r="1">
      <x v="2"/>
    </i>
    <i>
      <x v="2"/>
    </i>
    <i r="1">
      <x v="3"/>
    </i>
    <i r="1">
      <x v="4"/>
    </i>
    <i r="1">
      <x v="5"/>
    </i>
    <i r="1">
      <x v="2"/>
    </i>
    <i r="1">
      <x v="6"/>
    </i>
    <i>
      <x v="3"/>
    </i>
    <i r="1">
      <x/>
    </i>
    <i r="1">
      <x v="4"/>
    </i>
    <i>
      <x v="4"/>
    </i>
    <i r="1">
      <x v="3"/>
    </i>
    <i r="1">
      <x v="7"/>
    </i>
    <i r="1">
      <x v="1"/>
    </i>
    <i r="1">
      <x v="5"/>
    </i>
    <i r="1">
      <x v="2"/>
    </i>
    <i t="grand">
      <x/>
    </i>
  </rowItems>
  <colItems count="1">
    <i/>
  </colItems>
  <dataFields count="1">
    <dataField name="Sum of Qty" fld="0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Penjualan!$A$1:$F$2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49D4F-5C26-48CF-8149-AFD3608A05F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showAll="0"/>
    <pivotField showAll="0"/>
    <pivotField axis="axisRow" showAll="0">
      <items count="8">
        <item x="1"/>
        <item x="3"/>
        <item x="4"/>
        <item x="0"/>
        <item x="6"/>
        <item x="2"/>
        <item x="5"/>
        <item t="default"/>
      </items>
    </pivotField>
    <pivotField showAll="0">
      <items count="9">
        <item x="5"/>
        <item x="4"/>
        <item x="1"/>
        <item x="0"/>
        <item x="6"/>
        <item x="3"/>
        <item x="2"/>
        <item x="7"/>
        <item t="default"/>
      </items>
    </pivotField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4897-6694-4234-A0D3-89BDD4D88981}">
  <dimension ref="A3:B26"/>
  <sheetViews>
    <sheetView zoomScale="60" workbookViewId="0">
      <selection activeCell="B3" sqref="B3"/>
    </sheetView>
  </sheetViews>
  <sheetFormatPr defaultRowHeight="14.5" x14ac:dyDescent="0.35"/>
  <cols>
    <col min="1" max="1" width="13.26953125" bestFit="1" customWidth="1"/>
    <col min="2" max="2" width="10.26953125" bestFit="1" customWidth="1"/>
    <col min="3" max="9" width="4.81640625" bestFit="1" customWidth="1"/>
    <col min="10" max="10" width="10.7265625" bestFit="1" customWidth="1"/>
  </cols>
  <sheetData>
    <row r="3" spans="1:2" x14ac:dyDescent="0.35">
      <c r="A3" s="7" t="s">
        <v>81</v>
      </c>
      <c r="B3" t="s">
        <v>83</v>
      </c>
    </row>
    <row r="4" spans="1:2" x14ac:dyDescent="0.35">
      <c r="A4" s="8" t="s">
        <v>17</v>
      </c>
      <c r="B4" s="10">
        <v>0.22549019607843138</v>
      </c>
    </row>
    <row r="5" spans="1:2" x14ac:dyDescent="0.35">
      <c r="A5" s="9" t="s">
        <v>37</v>
      </c>
      <c r="B5" s="10">
        <v>8.8235294117647065E-2</v>
      </c>
    </row>
    <row r="6" spans="1:2" x14ac:dyDescent="0.35">
      <c r="A6" s="9" t="s">
        <v>9</v>
      </c>
      <c r="B6" s="10">
        <v>7.8431372549019607E-2</v>
      </c>
    </row>
    <row r="7" spans="1:2" x14ac:dyDescent="0.35">
      <c r="A7" s="9" t="s">
        <v>21</v>
      </c>
      <c r="B7" s="10">
        <v>5.8823529411764705E-2</v>
      </c>
    </row>
    <row r="8" spans="1:2" x14ac:dyDescent="0.35">
      <c r="A8" s="8" t="s">
        <v>10</v>
      </c>
      <c r="B8" s="10">
        <v>8.8235294117647065E-2</v>
      </c>
    </row>
    <row r="9" spans="1:2" x14ac:dyDescent="0.35">
      <c r="A9" s="9" t="s">
        <v>9</v>
      </c>
      <c r="B9" s="10">
        <v>9.8039215686274508E-3</v>
      </c>
    </row>
    <row r="10" spans="1:2" x14ac:dyDescent="0.35">
      <c r="A10" s="9" t="s">
        <v>21</v>
      </c>
      <c r="B10" s="10">
        <v>7.8431372549019607E-2</v>
      </c>
    </row>
    <row r="11" spans="1:2" x14ac:dyDescent="0.35">
      <c r="A11" s="8" t="s">
        <v>28</v>
      </c>
      <c r="B11" s="10">
        <v>0.38235294117647056</v>
      </c>
    </row>
    <row r="12" spans="1:2" x14ac:dyDescent="0.35">
      <c r="A12" s="9" t="s">
        <v>44</v>
      </c>
      <c r="B12" s="10">
        <v>0.11764705882352941</v>
      </c>
    </row>
    <row r="13" spans="1:2" x14ac:dyDescent="0.35">
      <c r="A13" s="9" t="s">
        <v>47</v>
      </c>
      <c r="B13" s="10">
        <v>7.8431372549019607E-2</v>
      </c>
    </row>
    <row r="14" spans="1:2" x14ac:dyDescent="0.35">
      <c r="A14" s="9" t="s">
        <v>25</v>
      </c>
      <c r="B14" s="10">
        <v>7.8431372549019607E-2</v>
      </c>
    </row>
    <row r="15" spans="1:2" x14ac:dyDescent="0.35">
      <c r="A15" s="9" t="s">
        <v>21</v>
      </c>
      <c r="B15" s="10">
        <v>2.9411764705882353E-2</v>
      </c>
    </row>
    <row r="16" spans="1:2" x14ac:dyDescent="0.35">
      <c r="A16" s="9" t="s">
        <v>50</v>
      </c>
      <c r="B16" s="10">
        <v>7.8431372549019607E-2</v>
      </c>
    </row>
    <row r="17" spans="1:2" x14ac:dyDescent="0.35">
      <c r="A17" s="8" t="s">
        <v>38</v>
      </c>
      <c r="B17" s="10">
        <v>7.8431372549019607E-2</v>
      </c>
    </row>
    <row r="18" spans="1:2" x14ac:dyDescent="0.35">
      <c r="A18" s="9" t="s">
        <v>37</v>
      </c>
      <c r="B18" s="10">
        <v>4.9019607843137254E-2</v>
      </c>
    </row>
    <row r="19" spans="1:2" x14ac:dyDescent="0.35">
      <c r="A19" s="9" t="s">
        <v>47</v>
      </c>
      <c r="B19" s="10">
        <v>2.9411764705882353E-2</v>
      </c>
    </row>
    <row r="20" spans="1:2" x14ac:dyDescent="0.35">
      <c r="A20" s="8" t="s">
        <v>15</v>
      </c>
      <c r="B20" s="10">
        <v>0.22549019607843138</v>
      </c>
    </row>
    <row r="21" spans="1:2" x14ac:dyDescent="0.35">
      <c r="A21" s="9" t="s">
        <v>44</v>
      </c>
      <c r="B21" s="10">
        <v>3.9215686274509803E-2</v>
      </c>
    </row>
    <row r="22" spans="1:2" x14ac:dyDescent="0.35">
      <c r="A22" s="9" t="s">
        <v>14</v>
      </c>
      <c r="B22" s="10">
        <v>1.9607843137254902E-2</v>
      </c>
    </row>
    <row r="23" spans="1:2" x14ac:dyDescent="0.35">
      <c r="A23" s="9" t="s">
        <v>9</v>
      </c>
      <c r="B23" s="10">
        <v>5.8823529411764705E-2</v>
      </c>
    </row>
    <row r="24" spans="1:2" x14ac:dyDescent="0.35">
      <c r="A24" s="9" t="s">
        <v>25</v>
      </c>
      <c r="B24" s="10">
        <v>7.8431372549019607E-2</v>
      </c>
    </row>
    <row r="25" spans="1:2" x14ac:dyDescent="0.35">
      <c r="A25" s="9" t="s">
        <v>21</v>
      </c>
      <c r="B25" s="10">
        <v>2.9411764705882353E-2</v>
      </c>
    </row>
    <row r="26" spans="1:2" x14ac:dyDescent="0.35">
      <c r="A26" s="8" t="s">
        <v>82</v>
      </c>
      <c r="B26" s="10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E951-572F-4077-999E-D62D244AA78F}">
  <dimension ref="A3:B11"/>
  <sheetViews>
    <sheetView workbookViewId="0">
      <selection activeCell="G5" sqref="G5"/>
    </sheetView>
  </sheetViews>
  <sheetFormatPr defaultRowHeight="14.5" x14ac:dyDescent="0.35"/>
  <cols>
    <col min="1" max="1" width="15.54296875" bestFit="1" customWidth="1"/>
    <col min="2" max="2" width="10.08984375" bestFit="1" customWidth="1"/>
  </cols>
  <sheetData>
    <row r="3" spans="1:2" x14ac:dyDescent="0.35">
      <c r="A3" s="7" t="s">
        <v>81</v>
      </c>
      <c r="B3" t="s">
        <v>83</v>
      </c>
    </row>
    <row r="4" spans="1:2" x14ac:dyDescent="0.35">
      <c r="A4" s="8" t="s">
        <v>13</v>
      </c>
      <c r="B4">
        <v>11</v>
      </c>
    </row>
    <row r="5" spans="1:2" x14ac:dyDescent="0.35">
      <c r="A5" s="8" t="s">
        <v>24</v>
      </c>
      <c r="B5">
        <v>33</v>
      </c>
    </row>
    <row r="6" spans="1:2" x14ac:dyDescent="0.35">
      <c r="A6" s="8" t="s">
        <v>31</v>
      </c>
      <c r="B6">
        <v>11</v>
      </c>
    </row>
    <row r="7" spans="1:2" x14ac:dyDescent="0.35">
      <c r="A7" s="8" t="s">
        <v>8</v>
      </c>
      <c r="B7">
        <v>18</v>
      </c>
    </row>
    <row r="8" spans="1:2" x14ac:dyDescent="0.35">
      <c r="A8" s="8" t="s">
        <v>41</v>
      </c>
      <c r="B8">
        <v>2</v>
      </c>
    </row>
    <row r="9" spans="1:2" x14ac:dyDescent="0.35">
      <c r="A9" s="8" t="s">
        <v>20</v>
      </c>
      <c r="B9">
        <v>15</v>
      </c>
    </row>
    <row r="10" spans="1:2" x14ac:dyDescent="0.35">
      <c r="A10" s="8" t="s">
        <v>34</v>
      </c>
      <c r="B10">
        <v>12</v>
      </c>
    </row>
    <row r="11" spans="1:2" x14ac:dyDescent="0.35">
      <c r="A11" s="8" t="s">
        <v>82</v>
      </c>
      <c r="B11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107" zoomScaleNormal="100" workbookViewId="0">
      <pane ySplit="1" topLeftCell="A33" activePane="bottomLeft" state="frozen"/>
      <selection pane="bottomLeft" sqref="A1:F23"/>
    </sheetView>
  </sheetViews>
  <sheetFormatPr defaultColWidth="8.6328125" defaultRowHeight="14.5" x14ac:dyDescent="0.35"/>
  <cols>
    <col min="1" max="1" width="14" customWidth="1"/>
    <col min="2" max="2" width="12" customWidth="1"/>
    <col min="3" max="3" width="22" customWidth="1"/>
    <col min="4" max="4" width="13" customWidth="1"/>
    <col min="5" max="5" width="8" customWidth="1"/>
    <col min="6" max="6" width="14" customWidth="1"/>
    <col min="8" max="8" width="16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>
        <v>1</v>
      </c>
      <c r="F2" s="2" t="s">
        <v>10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>
        <v>2</v>
      </c>
      <c r="F3" s="2" t="s">
        <v>15</v>
      </c>
    </row>
    <row r="4" spans="1:6" x14ac:dyDescent="0.35">
      <c r="A4" s="2" t="s">
        <v>16</v>
      </c>
      <c r="B4" s="2" t="s">
        <v>12</v>
      </c>
      <c r="C4" s="2" t="s">
        <v>8</v>
      </c>
      <c r="D4" s="2" t="s">
        <v>9</v>
      </c>
      <c r="E4" s="2">
        <v>8</v>
      </c>
      <c r="F4" s="2" t="s">
        <v>17</v>
      </c>
    </row>
    <row r="5" spans="1:6" x14ac:dyDescent="0.35">
      <c r="A5" s="2" t="s">
        <v>18</v>
      </c>
      <c r="B5" s="2" t="s">
        <v>19</v>
      </c>
      <c r="C5" s="2" t="s">
        <v>20</v>
      </c>
      <c r="D5" s="2" t="s">
        <v>21</v>
      </c>
      <c r="E5" s="2">
        <v>8</v>
      </c>
      <c r="F5" s="2" t="s">
        <v>10</v>
      </c>
    </row>
    <row r="6" spans="1:6" x14ac:dyDescent="0.35">
      <c r="A6" s="2" t="s">
        <v>22</v>
      </c>
      <c r="B6" s="2" t="s">
        <v>23</v>
      </c>
      <c r="C6" s="2" t="s">
        <v>24</v>
      </c>
      <c r="D6" s="2" t="s">
        <v>25</v>
      </c>
      <c r="E6" s="2">
        <v>8</v>
      </c>
      <c r="F6" s="2" t="s">
        <v>15</v>
      </c>
    </row>
    <row r="7" spans="1:6" x14ac:dyDescent="0.35">
      <c r="A7" s="2" t="s">
        <v>26</v>
      </c>
      <c r="B7" s="2" t="s">
        <v>27</v>
      </c>
      <c r="C7" s="2" t="s">
        <v>31</v>
      </c>
      <c r="D7" s="2" t="s">
        <v>21</v>
      </c>
      <c r="E7" s="2">
        <v>3</v>
      </c>
      <c r="F7" s="2" t="s">
        <v>28</v>
      </c>
    </row>
    <row r="8" spans="1:6" x14ac:dyDescent="0.35">
      <c r="A8" s="2" t="s">
        <v>29</v>
      </c>
      <c r="B8" s="2" t="s">
        <v>30</v>
      </c>
      <c r="C8" s="2" t="s">
        <v>31</v>
      </c>
      <c r="D8" s="2" t="s">
        <v>9</v>
      </c>
      <c r="E8" s="2">
        <v>1</v>
      </c>
      <c r="F8" s="2" t="s">
        <v>15</v>
      </c>
    </row>
    <row r="9" spans="1:6" x14ac:dyDescent="0.35">
      <c r="A9" s="2" t="s">
        <v>32</v>
      </c>
      <c r="B9" s="2" t="s">
        <v>33</v>
      </c>
      <c r="C9" s="2" t="s">
        <v>34</v>
      </c>
      <c r="D9" s="2" t="s">
        <v>25</v>
      </c>
      <c r="E9" s="2">
        <v>8</v>
      </c>
      <c r="F9" s="2" t="s">
        <v>28</v>
      </c>
    </row>
    <row r="10" spans="1:6" x14ac:dyDescent="0.35">
      <c r="A10" s="2" t="s">
        <v>35</v>
      </c>
      <c r="B10" s="2" t="s">
        <v>36</v>
      </c>
      <c r="C10" s="2" t="s">
        <v>31</v>
      </c>
      <c r="D10" s="2" t="s">
        <v>37</v>
      </c>
      <c r="E10" s="2">
        <v>5</v>
      </c>
      <c r="F10" s="2" t="s">
        <v>38</v>
      </c>
    </row>
    <row r="11" spans="1:6" x14ac:dyDescent="0.35">
      <c r="A11" s="2" t="s">
        <v>39</v>
      </c>
      <c r="B11" s="2" t="s">
        <v>40</v>
      </c>
      <c r="C11" s="2" t="s">
        <v>41</v>
      </c>
      <c r="D11" s="2" t="s">
        <v>9</v>
      </c>
      <c r="E11" s="2">
        <v>2</v>
      </c>
      <c r="F11" s="2" t="s">
        <v>15</v>
      </c>
    </row>
    <row r="12" spans="1:6" x14ac:dyDescent="0.35">
      <c r="A12" s="2" t="s">
        <v>42</v>
      </c>
      <c r="B12" s="2" t="s">
        <v>43</v>
      </c>
      <c r="C12" s="2" t="s">
        <v>34</v>
      </c>
      <c r="D12" s="2" t="s">
        <v>44</v>
      </c>
      <c r="E12" s="2">
        <v>4</v>
      </c>
      <c r="F12" s="2" t="s">
        <v>28</v>
      </c>
    </row>
    <row r="13" spans="1:6" x14ac:dyDescent="0.35">
      <c r="A13" s="2" t="s">
        <v>45</v>
      </c>
      <c r="B13" s="2" t="s">
        <v>46</v>
      </c>
      <c r="C13" s="2" t="s">
        <v>20</v>
      </c>
      <c r="D13" s="2" t="s">
        <v>47</v>
      </c>
      <c r="E13" s="2">
        <v>3</v>
      </c>
      <c r="F13" s="2" t="s">
        <v>38</v>
      </c>
    </row>
    <row r="14" spans="1:6" x14ac:dyDescent="0.35">
      <c r="A14" s="2" t="s">
        <v>48</v>
      </c>
      <c r="B14" s="2" t="s">
        <v>49</v>
      </c>
      <c r="C14" s="2" t="s">
        <v>24</v>
      </c>
      <c r="D14" s="2" t="s">
        <v>50</v>
      </c>
      <c r="E14" s="2">
        <v>8</v>
      </c>
      <c r="F14" s="2" t="s">
        <v>28</v>
      </c>
    </row>
    <row r="15" spans="1:6" x14ac:dyDescent="0.35">
      <c r="A15" s="2" t="s">
        <v>51</v>
      </c>
      <c r="B15" s="2" t="s">
        <v>52</v>
      </c>
      <c r="C15" s="2" t="s">
        <v>20</v>
      </c>
      <c r="D15" s="2" t="s">
        <v>44</v>
      </c>
      <c r="E15" s="2">
        <v>2</v>
      </c>
      <c r="F15" s="2" t="s">
        <v>15</v>
      </c>
    </row>
    <row r="16" spans="1:6" x14ac:dyDescent="0.35">
      <c r="A16" s="2" t="s">
        <v>53</v>
      </c>
      <c r="B16" s="2" t="s">
        <v>54</v>
      </c>
      <c r="C16" s="2" t="s">
        <v>8</v>
      </c>
      <c r="D16" s="2" t="s">
        <v>47</v>
      </c>
      <c r="E16" s="2">
        <v>8</v>
      </c>
      <c r="F16" s="2" t="s">
        <v>28</v>
      </c>
    </row>
    <row r="17" spans="1:6" x14ac:dyDescent="0.35">
      <c r="A17" s="2" t="s">
        <v>55</v>
      </c>
      <c r="B17" s="2" t="s">
        <v>56</v>
      </c>
      <c r="C17" s="2" t="s">
        <v>20</v>
      </c>
      <c r="D17" s="2" t="s">
        <v>44</v>
      </c>
      <c r="E17" s="2">
        <v>2</v>
      </c>
      <c r="F17" s="2" t="s">
        <v>15</v>
      </c>
    </row>
    <row r="18" spans="1:6" x14ac:dyDescent="0.35">
      <c r="A18" s="2" t="s">
        <v>57</v>
      </c>
      <c r="B18" s="2" t="s">
        <v>58</v>
      </c>
      <c r="C18" s="2" t="s">
        <v>24</v>
      </c>
      <c r="D18" s="2" t="s">
        <v>44</v>
      </c>
      <c r="E18" s="2">
        <v>8</v>
      </c>
      <c r="F18" s="2" t="s">
        <v>28</v>
      </c>
    </row>
    <row r="19" spans="1:6" x14ac:dyDescent="0.35">
      <c r="A19" s="2" t="s">
        <v>59</v>
      </c>
      <c r="B19" s="2" t="s">
        <v>60</v>
      </c>
      <c r="C19" s="2" t="s">
        <v>13</v>
      </c>
      <c r="D19" s="2" t="s">
        <v>21</v>
      </c>
      <c r="E19" s="2">
        <v>3</v>
      </c>
      <c r="F19" s="2" t="s">
        <v>15</v>
      </c>
    </row>
    <row r="20" spans="1:6" x14ac:dyDescent="0.35">
      <c r="A20" s="2" t="s">
        <v>61</v>
      </c>
      <c r="B20" s="2" t="s">
        <v>62</v>
      </c>
      <c r="C20" s="2" t="s">
        <v>13</v>
      </c>
      <c r="D20" s="2" t="s">
        <v>21</v>
      </c>
      <c r="E20" s="2">
        <v>6</v>
      </c>
      <c r="F20" s="2" t="s">
        <v>17</v>
      </c>
    </row>
    <row r="21" spans="1:6" x14ac:dyDescent="0.35">
      <c r="A21" s="2" t="s">
        <v>63</v>
      </c>
      <c r="B21" s="2" t="s">
        <v>64</v>
      </c>
      <c r="C21" s="2" t="s">
        <v>31</v>
      </c>
      <c r="D21" s="2" t="s">
        <v>9</v>
      </c>
      <c r="E21" s="2">
        <v>2</v>
      </c>
      <c r="F21" s="2" t="s">
        <v>15</v>
      </c>
    </row>
    <row r="22" spans="1:6" x14ac:dyDescent="0.35">
      <c r="A22" s="2" t="s">
        <v>65</v>
      </c>
      <c r="B22" s="2" t="s">
        <v>66</v>
      </c>
      <c r="C22" s="2" t="s">
        <v>8</v>
      </c>
      <c r="D22" s="2" t="s">
        <v>9</v>
      </c>
      <c r="E22" s="2">
        <v>1</v>
      </c>
      <c r="F22" s="2" t="s">
        <v>15</v>
      </c>
    </row>
    <row r="23" spans="1:6" x14ac:dyDescent="0.35">
      <c r="A23" s="2" t="s">
        <v>67</v>
      </c>
      <c r="B23" s="2" t="s">
        <v>68</v>
      </c>
      <c r="C23" s="2" t="s">
        <v>24</v>
      </c>
      <c r="D23" s="2" t="s">
        <v>37</v>
      </c>
      <c r="E23" s="2">
        <v>9</v>
      </c>
      <c r="F23" s="2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Normal="100" workbookViewId="0">
      <pane ySplit="1" topLeftCell="A2" activePane="bottomLeft" state="frozen"/>
      <selection pane="bottomLeft" activeCell="E3" sqref="E3"/>
    </sheetView>
  </sheetViews>
  <sheetFormatPr defaultColWidth="8.6328125" defaultRowHeight="14.5" x14ac:dyDescent="0.35"/>
  <cols>
    <col min="1" max="1" width="14" customWidth="1"/>
    <col min="2" max="2" width="20" customWidth="1"/>
    <col min="3" max="3" width="14" customWidth="1"/>
  </cols>
  <sheetData>
    <row r="1" spans="1:3" x14ac:dyDescent="0.35">
      <c r="A1" s="1" t="s">
        <v>3</v>
      </c>
      <c r="B1" s="1" t="s">
        <v>69</v>
      </c>
      <c r="C1" s="1" t="s">
        <v>70</v>
      </c>
    </row>
    <row r="2" spans="1:3" x14ac:dyDescent="0.35">
      <c r="A2" s="2" t="s">
        <v>44</v>
      </c>
      <c r="B2" s="2" t="s">
        <v>71</v>
      </c>
      <c r="C2" s="3">
        <v>150000</v>
      </c>
    </row>
    <row r="3" spans="1:3" x14ac:dyDescent="0.35">
      <c r="A3" s="2" t="s">
        <v>37</v>
      </c>
      <c r="B3" s="2" t="s">
        <v>72</v>
      </c>
      <c r="C3" s="3">
        <v>120000</v>
      </c>
    </row>
    <row r="4" spans="1:3" x14ac:dyDescent="0.35">
      <c r="A4" s="2" t="s">
        <v>14</v>
      </c>
      <c r="B4" s="2" t="s">
        <v>73</v>
      </c>
      <c r="C4" s="3">
        <v>250000</v>
      </c>
    </row>
    <row r="5" spans="1:3" x14ac:dyDescent="0.35">
      <c r="A5" s="2" t="s">
        <v>9</v>
      </c>
      <c r="B5" s="2" t="s">
        <v>74</v>
      </c>
      <c r="C5" s="3">
        <v>180000</v>
      </c>
    </row>
    <row r="6" spans="1:3" x14ac:dyDescent="0.35">
      <c r="A6" s="2" t="s">
        <v>47</v>
      </c>
      <c r="B6" s="2" t="s">
        <v>75</v>
      </c>
      <c r="C6" s="3">
        <v>320000</v>
      </c>
    </row>
    <row r="7" spans="1:3" x14ac:dyDescent="0.35">
      <c r="A7" s="2" t="s">
        <v>25</v>
      </c>
      <c r="B7" s="2" t="s">
        <v>76</v>
      </c>
      <c r="C7" s="3">
        <v>275000</v>
      </c>
    </row>
    <row r="8" spans="1:3" x14ac:dyDescent="0.35">
      <c r="A8" s="2" t="s">
        <v>21</v>
      </c>
      <c r="B8" s="2" t="s">
        <v>77</v>
      </c>
      <c r="C8" s="3">
        <v>450000</v>
      </c>
    </row>
    <row r="9" spans="1:3" x14ac:dyDescent="0.35">
      <c r="A9" s="2" t="s">
        <v>50</v>
      </c>
      <c r="B9" s="2" t="s">
        <v>78</v>
      </c>
      <c r="C9" s="3">
        <v>600000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zoomScale="71" zoomScaleNormal="100" workbookViewId="0">
      <pane ySplit="1" topLeftCell="A2" activePane="bottomLeft" state="frozen"/>
      <selection pane="bottomLeft" activeCell="B19" sqref="B19"/>
    </sheetView>
  </sheetViews>
  <sheetFormatPr defaultColWidth="8.6328125" defaultRowHeight="14.5" x14ac:dyDescent="0.35"/>
  <cols>
    <col min="1" max="1" width="14" customWidth="1"/>
    <col min="2" max="2" width="26" customWidth="1"/>
    <col min="3" max="3" width="22" customWidth="1"/>
  </cols>
  <sheetData>
    <row r="1" spans="1:3" ht="28" x14ac:dyDescent="0.35">
      <c r="A1" s="1" t="s">
        <v>3</v>
      </c>
      <c r="B1" s="1" t="s">
        <v>79</v>
      </c>
      <c r="C1" s="1" t="s">
        <v>80</v>
      </c>
    </row>
    <row r="2" spans="1:3" x14ac:dyDescent="0.35">
      <c r="A2" s="2" t="s">
        <v>9</v>
      </c>
      <c r="B2" s="4" t="str">
        <f>VLOOKUP(A2,Referensi_Barang!$A$2:$C$9,2,FALSE)</f>
        <v>Blender</v>
      </c>
      <c r="C2" s="5">
        <f>VLOOKUP(A2,Referensi_Barang!$A$2:$C$9,3,FALSE)</f>
        <v>180000</v>
      </c>
    </row>
    <row r="3" spans="1:3" x14ac:dyDescent="0.35">
      <c r="A3" s="2" t="s">
        <v>21</v>
      </c>
      <c r="B3" s="4" t="str">
        <f>VLOOKUP(A3,Referensi_Barang!$A$2:$C$9,2,FALSE)</f>
        <v>Air Fryer</v>
      </c>
      <c r="C3" s="5">
        <f>VLOOKUP(A3,Referensi_Barang!$A$2:$C$9,3,FALSE)</f>
        <v>450000</v>
      </c>
    </row>
    <row r="4" spans="1:3" x14ac:dyDescent="0.35">
      <c r="A4" s="2" t="s">
        <v>44</v>
      </c>
      <c r="B4" s="4" t="str">
        <f>VLOOKUP(A4,Referensi_Barang!$A$2:$C$9,2,FALSE)</f>
        <v>Kipas Angin</v>
      </c>
      <c r="C4" s="5">
        <f>VLOOKUP(A4,Referensi_Barang!$A$2:$C$9,3,FALSE)</f>
        <v>150000</v>
      </c>
    </row>
    <row r="5" spans="1:3" x14ac:dyDescent="0.35">
      <c r="A5" s="2" t="s">
        <v>25</v>
      </c>
      <c r="B5" s="4" t="str">
        <f>VLOOKUP(A5,Referensi_Barang!$A$2:$C$9,2,FALSE)</f>
        <v>Dispenser</v>
      </c>
      <c r="C5" s="5">
        <f>VLOOKUP(A5,Referensi_Barang!$A$2:$C$9,3,FALSE)</f>
        <v>275000</v>
      </c>
    </row>
    <row r="6" spans="1:3" x14ac:dyDescent="0.35">
      <c r="A6" s="2" t="s">
        <v>37</v>
      </c>
      <c r="B6" s="4" t="str">
        <f>VLOOKUP(A6,Referensi_Barang!$A$2:$C$9,2,FALSE)</f>
        <v>Setrika</v>
      </c>
      <c r="C6" s="5">
        <f>VLOOKUP(A6,Referensi_Barang!$A$2:$C$9,3,FALSE)</f>
        <v>120000</v>
      </c>
    </row>
    <row r="7" spans="1:3" x14ac:dyDescent="0.35">
      <c r="A7" s="2" t="s">
        <v>50</v>
      </c>
      <c r="B7" s="4" t="str">
        <f>VLOOKUP(A7,Referensi_Barang!$A$2:$C$9,2,FALSE)</f>
        <v>Vacuum Cleaner</v>
      </c>
      <c r="C7" s="5">
        <f>VLOOKUP(A7,Referensi_Barang!$A$2:$C$9,3,FALSE)</f>
        <v>600000</v>
      </c>
    </row>
    <row r="8" spans="1:3" x14ac:dyDescent="0.35">
      <c r="A8" s="2" t="s">
        <v>14</v>
      </c>
      <c r="B8" s="4" t="str">
        <f>VLOOKUP(A8,Referensi_Barang!$A$2:$C$9,2,FALSE)</f>
        <v>Rice Cooker</v>
      </c>
      <c r="C8" s="5">
        <f>VLOOKUP(A8,Referensi_Barang!$A$2:$C$9,3,FALSE)</f>
        <v>250000</v>
      </c>
    </row>
    <row r="9" spans="1:3" x14ac:dyDescent="0.35">
      <c r="A9" s="2" t="s">
        <v>47</v>
      </c>
      <c r="B9" s="4" t="str">
        <f>VLOOKUP(A9,Referensi_Barang!$A$2:$C$9,2,FALSE)</f>
        <v>Kompor Listrik</v>
      </c>
      <c r="C9" s="5">
        <f>VLOOKUP(A9,Referensi_Barang!$A$2:$C$9,3,FALSE)</f>
        <v>320000</v>
      </c>
    </row>
    <row r="11" spans="1:3" x14ac:dyDescent="0.35">
      <c r="A11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pivot_cabang_barang</vt:lpstr>
      <vt:lpstr>pivot_Sales</vt:lpstr>
      <vt:lpstr>Data_Penjualan</vt:lpstr>
      <vt:lpstr>Referensi_Barang</vt:lpstr>
      <vt:lpstr>Latihan_VLOOKUP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Nia Septi Tri Pertiwi</cp:lastModifiedBy>
  <cp:revision>0</cp:revision>
  <dcterms:created xsi:type="dcterms:W3CDTF">2026-08-23T06:06:26Z</dcterms:created>
  <dcterms:modified xsi:type="dcterms:W3CDTF">2026-08-26T03:50:51Z</dcterms:modified>
  <dc:language>en-US</dc:language>
</cp:coreProperties>
</file>